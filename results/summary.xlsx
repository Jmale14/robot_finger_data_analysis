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\Desktop\GitHub\robot_finger_data_analysis\results\"/>
    </mc:Choice>
  </mc:AlternateContent>
  <xr:revisionPtr revIDLastSave="0" documentId="13_ncr:1_{4B945920-6386-4D59-B985-843CC8E4677E}" xr6:coauthVersionLast="47" xr6:coauthVersionMax="47" xr10:uidLastSave="{00000000-0000-0000-0000-000000000000}"/>
  <bookViews>
    <workbookView xWindow="-110" yWindow="-110" windowWidth="19420" windowHeight="10300" xr2:uid="{65F994CD-7713-4250-8C7A-E27EEFDF00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K16" i="1"/>
  <c r="J16" i="1"/>
  <c r="K15" i="1"/>
  <c r="J15" i="1"/>
  <c r="K12" i="1"/>
  <c r="J12" i="1"/>
  <c r="K11" i="1"/>
  <c r="J11" i="1"/>
  <c r="K8" i="1"/>
  <c r="J8" i="1"/>
  <c r="K7" i="1"/>
  <c r="J7" i="1"/>
  <c r="J4" i="1"/>
  <c r="K4" i="1"/>
  <c r="K3" i="1"/>
  <c r="J3" i="1"/>
  <c r="H5" i="1"/>
  <c r="I5" i="1"/>
  <c r="H7" i="1"/>
  <c r="I7" i="1"/>
  <c r="H9" i="1"/>
  <c r="I9" i="1"/>
  <c r="H11" i="1"/>
  <c r="I11" i="1"/>
  <c r="H13" i="1"/>
  <c r="I13" i="1"/>
  <c r="H15" i="1"/>
  <c r="I15" i="1"/>
  <c r="H17" i="1"/>
  <c r="I17" i="1"/>
  <c r="I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3" i="1"/>
</calcChain>
</file>

<file path=xl/sharedStrings.xml><?xml version="1.0" encoding="utf-8"?>
<sst xmlns="http://schemas.openxmlformats.org/spreadsheetml/2006/main" count="61" uniqueCount="14">
  <si>
    <t>Dataset</t>
  </si>
  <si>
    <t>Data Type</t>
  </si>
  <si>
    <t>Model</t>
  </si>
  <si>
    <t>PCA</t>
  </si>
  <si>
    <t>Texture</t>
  </si>
  <si>
    <t>CNN</t>
  </si>
  <si>
    <t>Accuracy</t>
  </si>
  <si>
    <t>F1</t>
  </si>
  <si>
    <t>CNN-LSTM</t>
  </si>
  <si>
    <t>Softness</t>
  </si>
  <si>
    <t>Tex&amp;Soft</t>
  </si>
  <si>
    <t>Name</t>
  </si>
  <si>
    <t>Acc dif</t>
  </si>
  <si>
    <t>F1 dif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</si>
</sst>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FE3F6-8BCF-437F-88E7-84B56714E5B8}">
  <dimension ref="A1:K18"/>
  <sheetViews>
    <sheetView tabSelected="1" workbookViewId="0">
      <selection activeCell="O4" sqref="O4"/>
    </sheetView>
  </sheetViews>
  <sheetFormatPr defaultRowHeight="14.5" x14ac:dyDescent="0.35"/>
  <cols>
    <col min="4" max="4" width="9.54296875" bestFit="1" customWidth="1"/>
  </cols>
  <sheetData>
    <row r="1" spans="1:11" x14ac:dyDescent="0.35">
      <c r="H1" s="3" t="s">
        <v>3</v>
      </c>
      <c r="I1" s="3"/>
      <c r="J1" s="3" t="s">
        <v>2</v>
      </c>
      <c r="K1" s="3"/>
    </row>
    <row r="2" spans="1:11" s="1" customFormat="1" x14ac:dyDescent="0.35">
      <c r="A2" s="1" t="s">
        <v>0</v>
      </c>
      <c r="B2" s="1" t="s">
        <v>1</v>
      </c>
      <c r="C2" s="1" t="s">
        <v>11</v>
      </c>
      <c r="D2" s="1" t="s">
        <v>2</v>
      </c>
      <c r="E2" s="1" t="s">
        <v>3</v>
      </c>
      <c r="F2" s="1" t="s">
        <v>6</v>
      </c>
      <c r="G2" s="1" t="s">
        <v>7</v>
      </c>
      <c r="H2" s="1" t="s">
        <v>12</v>
      </c>
      <c r="I2" s="1" t="s">
        <v>13</v>
      </c>
      <c r="J2" s="1" t="s">
        <v>12</v>
      </c>
      <c r="K2" s="1" t="s">
        <v>13</v>
      </c>
    </row>
    <row r="3" spans="1:11" s="2" customFormat="1" x14ac:dyDescent="0.35">
      <c r="A3" s="2" t="s">
        <v>4</v>
      </c>
      <c r="B3" s="2" t="s">
        <v>4</v>
      </c>
      <c r="C3" s="2" t="str">
        <f>_xlfn.CONCAT(A3, B3)</f>
        <v>TextureTexture</v>
      </c>
      <c r="D3" s="2" t="s">
        <v>5</v>
      </c>
      <c r="E3" s="2" t="b">
        <v>1</v>
      </c>
      <c r="F3" s="2">
        <v>0.67410000000000003</v>
      </c>
      <c r="G3" s="2">
        <v>0.65859999999999996</v>
      </c>
      <c r="H3" s="2">
        <f>F3-F4</f>
        <v>-3.6999999999999256E-3</v>
      </c>
      <c r="I3" s="2">
        <f>G3-G4</f>
        <v>-2.9000000000000137E-3</v>
      </c>
      <c r="J3" s="2">
        <f>F5-F3</f>
        <v>0.25739999999999996</v>
      </c>
      <c r="K3" s="2">
        <f>G5-G3</f>
        <v>0.2641</v>
      </c>
    </row>
    <row r="4" spans="1:11" x14ac:dyDescent="0.35">
      <c r="A4" t="s">
        <v>4</v>
      </c>
      <c r="B4" t="s">
        <v>4</v>
      </c>
      <c r="C4" t="str">
        <f t="shared" ref="C4:C18" si="0">_xlfn.CONCAT(A4, B4)</f>
        <v>TextureTexture</v>
      </c>
      <c r="D4" t="s">
        <v>5</v>
      </c>
      <c r="E4" t="b">
        <v>0</v>
      </c>
      <c r="F4">
        <v>0.67779999999999996</v>
      </c>
      <c r="G4">
        <v>0.66149999999999998</v>
      </c>
      <c r="J4">
        <f>F6-F4</f>
        <v>0.27410000000000001</v>
      </c>
      <c r="K4">
        <f>G6-G4</f>
        <v>0.2893</v>
      </c>
    </row>
    <row r="5" spans="1:11" x14ac:dyDescent="0.35">
      <c r="A5" t="s">
        <v>4</v>
      </c>
      <c r="B5" t="s">
        <v>4</v>
      </c>
      <c r="C5" t="str">
        <f t="shared" si="0"/>
        <v>TextureTexture</v>
      </c>
      <c r="D5" t="s">
        <v>8</v>
      </c>
      <c r="E5" t="b">
        <v>1</v>
      </c>
      <c r="F5">
        <v>0.93149999999999999</v>
      </c>
      <c r="G5">
        <v>0.92269999999999996</v>
      </c>
      <c r="H5">
        <f t="shared" ref="H5:H17" si="1">F5-F6</f>
        <v>-2.0399999999999974E-2</v>
      </c>
      <c r="I5">
        <f t="shared" ref="I5:I17" si="2">G5-G6</f>
        <v>-2.8100000000000014E-2</v>
      </c>
    </row>
    <row r="6" spans="1:11" x14ac:dyDescent="0.35">
      <c r="A6" t="s">
        <v>4</v>
      </c>
      <c r="B6" t="s">
        <v>4</v>
      </c>
      <c r="C6" t="str">
        <f t="shared" si="0"/>
        <v>TextureTexture</v>
      </c>
      <c r="D6" t="s">
        <v>8</v>
      </c>
      <c r="E6" t="b">
        <v>0</v>
      </c>
      <c r="F6">
        <v>0.95189999999999997</v>
      </c>
      <c r="G6">
        <v>0.95079999999999998</v>
      </c>
    </row>
    <row r="7" spans="1:11" s="2" customFormat="1" x14ac:dyDescent="0.35">
      <c r="A7" s="2" t="s">
        <v>9</v>
      </c>
      <c r="B7" s="2" t="s">
        <v>9</v>
      </c>
      <c r="C7" s="2" t="str">
        <f t="shared" si="0"/>
        <v>SoftnessSoftness</v>
      </c>
      <c r="D7" s="2" t="s">
        <v>5</v>
      </c>
      <c r="E7" s="2" t="b">
        <v>1</v>
      </c>
      <c r="F7" s="2">
        <v>0.97950000000000004</v>
      </c>
      <c r="G7" s="2">
        <v>0.98009999999999997</v>
      </c>
      <c r="H7" s="2">
        <f t="shared" si="1"/>
        <v>2.00000000000089E-4</v>
      </c>
      <c r="I7" s="2">
        <f t="shared" si="2"/>
        <v>0</v>
      </c>
      <c r="J7" s="2">
        <f>F9-F7</f>
        <v>-7.0999999999999952E-3</v>
      </c>
      <c r="K7" s="2">
        <f>G9-G7</f>
        <v>-1.100000000000001E-2</v>
      </c>
    </row>
    <row r="8" spans="1:11" x14ac:dyDescent="0.35">
      <c r="A8" t="s">
        <v>9</v>
      </c>
      <c r="B8" t="s">
        <v>9</v>
      </c>
      <c r="C8" t="str">
        <f t="shared" si="0"/>
        <v>SoftnessSoftness</v>
      </c>
      <c r="D8" t="s">
        <v>5</v>
      </c>
      <c r="E8" t="b">
        <v>0</v>
      </c>
      <c r="F8">
        <v>0.97929999999999995</v>
      </c>
      <c r="G8">
        <v>0.98009999999999997</v>
      </c>
      <c r="J8">
        <f>F10-F8</f>
        <v>6.9000000000000172E-3</v>
      </c>
      <c r="K8">
        <f>G10-G8</f>
        <v>3.6000000000000476E-3</v>
      </c>
    </row>
    <row r="9" spans="1:11" x14ac:dyDescent="0.35">
      <c r="A9" t="s">
        <v>9</v>
      </c>
      <c r="B9" t="s">
        <v>9</v>
      </c>
      <c r="C9" t="str">
        <f t="shared" si="0"/>
        <v>SoftnessSoftness</v>
      </c>
      <c r="D9" t="s">
        <v>8</v>
      </c>
      <c r="E9" t="b">
        <v>1</v>
      </c>
      <c r="F9">
        <v>0.97240000000000004</v>
      </c>
      <c r="G9">
        <v>0.96909999999999996</v>
      </c>
      <c r="H9">
        <f t="shared" si="1"/>
        <v>-1.3799999999999923E-2</v>
      </c>
      <c r="I9">
        <f t="shared" si="2"/>
        <v>-1.4600000000000057E-2</v>
      </c>
    </row>
    <row r="10" spans="1:11" x14ac:dyDescent="0.35">
      <c r="A10" t="s">
        <v>9</v>
      </c>
      <c r="B10" t="s">
        <v>9</v>
      </c>
      <c r="C10" t="str">
        <f t="shared" si="0"/>
        <v>SoftnessSoftness</v>
      </c>
      <c r="D10" t="s">
        <v>8</v>
      </c>
      <c r="E10" t="b">
        <v>0</v>
      </c>
      <c r="F10">
        <v>0.98619999999999997</v>
      </c>
      <c r="G10">
        <v>0.98370000000000002</v>
      </c>
    </row>
    <row r="11" spans="1:11" s="2" customFormat="1" x14ac:dyDescent="0.35">
      <c r="A11" s="2" t="s">
        <v>10</v>
      </c>
      <c r="B11" s="2" t="s">
        <v>4</v>
      </c>
      <c r="C11" s="2" t="str">
        <f t="shared" si="0"/>
        <v>Tex&amp;SoftTexture</v>
      </c>
      <c r="D11" s="2" t="s">
        <v>5</v>
      </c>
      <c r="E11" s="2" t="b">
        <v>1</v>
      </c>
      <c r="F11" s="2">
        <v>0.65410000000000001</v>
      </c>
      <c r="G11" s="2">
        <v>0.65210000000000001</v>
      </c>
      <c r="H11" s="2">
        <f t="shared" si="1"/>
        <v>1.4900000000000024E-2</v>
      </c>
      <c r="I11" s="2">
        <f t="shared" si="2"/>
        <v>1.9399999999999973E-2</v>
      </c>
      <c r="J11" s="2">
        <f>F13-F11</f>
        <v>0.30399999999999994</v>
      </c>
      <c r="K11" s="2">
        <f>G13-G11</f>
        <v>0.30579999999999996</v>
      </c>
    </row>
    <row r="12" spans="1:11" x14ac:dyDescent="0.35">
      <c r="A12" t="s">
        <v>10</v>
      </c>
      <c r="B12" t="s">
        <v>4</v>
      </c>
      <c r="C12" t="str">
        <f t="shared" si="0"/>
        <v>Tex&amp;SoftTexture</v>
      </c>
      <c r="D12" t="s">
        <v>5</v>
      </c>
      <c r="E12" t="b">
        <v>0</v>
      </c>
      <c r="F12">
        <v>0.63919999999999999</v>
      </c>
      <c r="G12">
        <v>0.63270000000000004</v>
      </c>
      <c r="J12">
        <f>F14-F12</f>
        <v>0.31740000000000002</v>
      </c>
      <c r="K12">
        <f>G14-G12</f>
        <v>0.32199999999999995</v>
      </c>
    </row>
    <row r="13" spans="1:11" x14ac:dyDescent="0.35">
      <c r="A13" t="s">
        <v>10</v>
      </c>
      <c r="B13" t="s">
        <v>4</v>
      </c>
      <c r="C13" t="str">
        <f t="shared" si="0"/>
        <v>Tex&amp;SoftTexture</v>
      </c>
      <c r="D13" t="s">
        <v>8</v>
      </c>
      <c r="E13" t="b">
        <v>1</v>
      </c>
      <c r="F13">
        <v>0.95809999999999995</v>
      </c>
      <c r="G13">
        <v>0.95789999999999997</v>
      </c>
      <c r="H13">
        <f t="shared" si="1"/>
        <v>1.4999999999999458E-3</v>
      </c>
      <c r="I13">
        <f t="shared" si="2"/>
        <v>3.1999999999999806E-3</v>
      </c>
    </row>
    <row r="14" spans="1:11" x14ac:dyDescent="0.35">
      <c r="A14" t="s">
        <v>10</v>
      </c>
      <c r="B14" t="s">
        <v>4</v>
      </c>
      <c r="C14" t="str">
        <f t="shared" si="0"/>
        <v>Tex&amp;SoftTexture</v>
      </c>
      <c r="D14" t="s">
        <v>8</v>
      </c>
      <c r="E14" t="b">
        <v>0</v>
      </c>
      <c r="F14">
        <v>0.95660000000000001</v>
      </c>
      <c r="G14">
        <v>0.95469999999999999</v>
      </c>
    </row>
    <row r="15" spans="1:11" s="2" customFormat="1" x14ac:dyDescent="0.35">
      <c r="A15" s="2" t="s">
        <v>10</v>
      </c>
      <c r="B15" s="2" t="s">
        <v>9</v>
      </c>
      <c r="C15" s="2" t="str">
        <f t="shared" si="0"/>
        <v>Tex&amp;SoftSoftness</v>
      </c>
      <c r="D15" s="2" t="s">
        <v>5</v>
      </c>
      <c r="E15" s="2" t="b">
        <v>1</v>
      </c>
      <c r="F15" s="2">
        <v>0.88470000000000004</v>
      </c>
      <c r="G15" s="2">
        <v>0.88029999999999997</v>
      </c>
      <c r="H15" s="2">
        <f t="shared" si="1"/>
        <v>1.650000000000007E-2</v>
      </c>
      <c r="I15" s="2">
        <f t="shared" si="2"/>
        <v>1.4699999999999935E-2</v>
      </c>
      <c r="J15" s="2">
        <f>F17-F15</f>
        <v>9.4299999999999939E-2</v>
      </c>
      <c r="K15" s="2">
        <f>G17-G15</f>
        <v>9.8799999999999999E-2</v>
      </c>
    </row>
    <row r="16" spans="1:11" x14ac:dyDescent="0.35">
      <c r="A16" t="s">
        <v>10</v>
      </c>
      <c r="B16" t="s">
        <v>9</v>
      </c>
      <c r="C16" t="str">
        <f t="shared" si="0"/>
        <v>Tex&amp;SoftSoftness</v>
      </c>
      <c r="D16" t="s">
        <v>5</v>
      </c>
      <c r="E16" t="b">
        <v>0</v>
      </c>
      <c r="F16">
        <v>0.86819999999999997</v>
      </c>
      <c r="G16">
        <v>0.86560000000000004</v>
      </c>
      <c r="J16">
        <f>F18-F16</f>
        <v>0.10780000000000001</v>
      </c>
      <c r="K16">
        <f>G18-G16</f>
        <v>0.11099999999999999</v>
      </c>
    </row>
    <row r="17" spans="1:9" x14ac:dyDescent="0.35">
      <c r="A17" t="s">
        <v>10</v>
      </c>
      <c r="B17" t="s">
        <v>9</v>
      </c>
      <c r="C17" t="str">
        <f t="shared" si="0"/>
        <v>Tex&amp;SoftSoftness</v>
      </c>
      <c r="D17" t="s">
        <v>8</v>
      </c>
      <c r="E17" t="b">
        <v>1</v>
      </c>
      <c r="F17">
        <v>0.97899999999999998</v>
      </c>
      <c r="G17">
        <v>0.97909999999999997</v>
      </c>
      <c r="H17">
        <f t="shared" si="1"/>
        <v>3.0000000000000027E-3</v>
      </c>
      <c r="I17">
        <f t="shared" si="2"/>
        <v>2.4999999999999467E-3</v>
      </c>
    </row>
    <row r="18" spans="1:9" x14ac:dyDescent="0.35">
      <c r="A18" t="s">
        <v>10</v>
      </c>
      <c r="B18" t="s">
        <v>9</v>
      </c>
      <c r="C18" t="str">
        <f t="shared" si="0"/>
        <v>Tex&amp;SoftSoftness</v>
      </c>
      <c r="D18" t="s">
        <v>8</v>
      </c>
      <c r="E18" t="b">
        <v>0</v>
      </c>
      <c r="F18">
        <v>0.97599999999999998</v>
      </c>
      <c r="G18">
        <v>0.97660000000000002</v>
      </c>
    </row>
  </sheetData>
  <mergeCells count="2">
    <mergeCell ref="H1:I1"/>
    <mergeCell ref="J1:K1"/>
  </mergeCells>
  <pageMargins left="0.7" right="0.7" top="0.75" bottom="0.75" header="0.3" footer="0.3"/>
  <headerFooter>
    <oddHeader>&amp;R&amp;"Aptos"&amp;11&amp;K000000 TUNI Luottamuksellinen - Confidential (3Y)&amp;1#_x000D_</oddHeader>
  </headerFooter>
</worksheet>
</file>

<file path=docMetadata/LabelInfo.xml><?xml version="1.0" encoding="utf-8"?>
<clbl:labelList xmlns:clbl="http://schemas.microsoft.com/office/2020/mipLabelMetadata">
  <clbl:label id="{74814fa1-1a0b-42d1-967a-caddbf829325}" enabled="1" method="Standard" siteId="{fa6944af-cc7c-4cd8-9154-c01132798910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Fant-Male (TAU)</dc:creator>
  <cp:lastModifiedBy>James Fant-Male (TAU)</cp:lastModifiedBy>
  <dcterms:created xsi:type="dcterms:W3CDTF">2026-02-07T10:39:48Z</dcterms:created>
  <dcterms:modified xsi:type="dcterms:W3CDTF">2026-02-09T18:25:36Z</dcterms:modified>
</cp:coreProperties>
</file>